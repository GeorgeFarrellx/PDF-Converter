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kersaccountancy.sharepoint.com/sites/ParkersAccountancy/Shared Documents/George/PDF-Converter/"/>
    </mc:Choice>
  </mc:AlternateContent>
  <xr:revisionPtr revIDLastSave="336" documentId="8_{DE894061-B1CA-4F02-BBC5-E3F190B4CF93}" xr6:coauthVersionLast="47" xr6:coauthVersionMax="47" xr10:uidLastSave="{C629BEAA-1B7B-4AD6-A51B-CCF5C8EC98B9}"/>
  <bookViews>
    <workbookView xWindow="-120" yWindow="-120" windowWidth="29040" windowHeight="15720" firstSheet="1" activeTab="3" xr2:uid="{3F22E0B9-65B0-45DD-B4C4-92AA6084518F}"/>
  </bookViews>
  <sheets>
    <sheet name="Helper" sheetId="5" state="hidden" r:id="rId1"/>
    <sheet name="Custom Rules" sheetId="3" r:id="rId2"/>
    <sheet name="Transaction Data" sheetId="2" r:id="rId3"/>
    <sheet name="Summary" sheetId="6" r:id="rId4"/>
    <sheet name="Pivot Summary" sheetId="4" r:id="rId5"/>
  </sheets>
  <externalReferences>
    <externalReference r:id="rId6"/>
  </externalReference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 a="1"/>
  <c r="E3" i="6" s="1"/>
  <c r="D3" i="6" a="1"/>
  <c r="D3" i="6" s="1"/>
  <c r="B3" i="6" a="1"/>
  <c r="B3" i="6" s="1"/>
  <c r="A3" i="6" a="1"/>
  <c r="A3" i="6" s="1"/>
  <c r="G1" i="5" a="1"/>
  <c r="G1" i="5" s="1"/>
  <c r="E2" i="6" l="1"/>
  <c r="B2" i="6"/>
  <c r="H1" i="5" a="1"/>
  <c r="H1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<sst xmlns="http://schemas.openxmlformats.org/spreadsheetml/2006/main" count="39" uniqueCount="32">
  <si>
    <t>T/N</t>
  </si>
  <si>
    <t>Date</t>
  </si>
  <si>
    <t>Transaction Type</t>
  </si>
  <si>
    <t>Description</t>
  </si>
  <si>
    <t>Amount</t>
  </si>
  <si>
    <t>Balance</t>
  </si>
  <si>
    <t>Global</t>
  </si>
  <si>
    <t>Custom</t>
  </si>
  <si>
    <t>Manual</t>
  </si>
  <si>
    <t>Final</t>
  </si>
  <si>
    <t>Priority</t>
  </si>
  <si>
    <t>Category</t>
  </si>
  <si>
    <t>Match Type</t>
  </si>
  <si>
    <t>Pattern</t>
  </si>
  <si>
    <t>Direction</t>
  </si>
  <si>
    <t>Txn Type Contains</t>
  </si>
  <si>
    <t>Active</t>
  </si>
  <si>
    <t>Notes</t>
  </si>
  <si>
    <t>Global Category</t>
  </si>
  <si>
    <t>ANY</t>
  </si>
  <si>
    <t>Sort the table by Priority (smallest first). First matching rule wins.</t>
  </si>
  <si>
    <t>Income</t>
  </si>
  <si>
    <t>CONTAINS</t>
  </si>
  <si>
    <t>DEBIT</t>
  </si>
  <si>
    <t>STARTSWITH</t>
  </si>
  <si>
    <t>CREDIT</t>
  </si>
  <si>
    <t>EXACT</t>
  </si>
  <si>
    <t>Grand Total</t>
  </si>
  <si>
    <t xml:space="preserve">Amount </t>
  </si>
  <si>
    <t>Expenses</t>
  </si>
  <si>
    <t>Expense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</si>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</sst>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£&quot;* #,##0.00_-;\-&quot;£&quot;* #,##0.00_-;_-&quot;£&quot;* &quot;-&quot;??_-;_-@_-"/>
    <numFmt numFmtId="164" formatCode="_-&quot;£&quot;* #,##0.00_-;&quot;£&quot;* #,##0.00_-;_-&quot;£&quot;* &quot;-&quot;??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NumberFormat="0" applyBorder="0" applyAlignment="0" applyProtection="0"/>
    <xf numFmtId="44" fontId="1" fillId="2" borderId="0" applyNumberFormat="0" applyFont="0" applyBorder="0" applyAlignment="0" applyProtection="0"/>
    <xf numFmtId="0" fontId="1" fillId="0" borderId="0"/>
  </cellStyleXfs>
  <cellXfs count="16">
    <xf numFmtId="0" fontId="0" fillId="0" borderId="0" xfId="0"/>
    <xf numFmtId="0" fontId="1" fillId="0" borderId="0" xfId="2"/>
    <xf numFmtId="14" fontId="1" fillId="0" borderId="0" xfId="2" applyNumberFormat="1"/>
    <xf numFmtId="0" fontId="2" fillId="0" borderId="0" xfId="2" applyFont="1"/>
    <xf numFmtId="44" fontId="1" fillId="0" borderId="0" xfId="2" applyNumberFormat="1"/>
    <xf numFmtId="0" fontId="1" fillId="0" borderId="1" xfId="2" applyBorder="1"/>
    <xf numFmtId="0" fontId="1" fillId="0" borderId="2" xfId="2" applyBorder="1"/>
    <xf numFmtId="0" fontId="1" fillId="0" borderId="3" xfId="2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0" fontId="1" fillId="0" borderId="0" xfId="2" applyAlignment="1">
      <alignment horizontal="center" wrapText="1"/>
    </xf>
    <xf numFmtId="44" fontId="2" fillId="0" borderId="0" xfId="2" applyNumberFormat="1" applyFont="1"/>
  </cellXfs>
  <cellStyles count="3">
    <cellStyle name="Normal" xfId="0" builtinId="0" customBuiltin="1"/>
    <cellStyle name="Normal 2" xfId="2" xr:uid="{AD3A82D4-3506-482D-AE4B-1B4C2D0DB15A}"/>
    <cellStyle name="Review" xfId="1" xr:uid="{6CCA6ACB-F3BA-4A8E-992F-9417AD37E0FC}"/>
  </cellStyles>
  <dxfs count="27"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9" formatCode="dd/mm/yyyy"/>
    </dxf>
    <dxf>
      <font>
        <b/>
      </font>
    </dxf>
    <dxf>
      <font>
        <b/>
      </font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numFmt numFmtId="164" formatCode="_-&quot;£&quot;* #,##0.00_-;&quot;£&quot;* #,##0.00_-;_-&quot;£&quot;* &quot;-&quot;??_-;_-@_-"/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border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1" defaultPivotStyle="PivotStyleLight15 2">
    <tableStyle name="PivotStyleLight15 2" table="0" count="12" xr9:uid="{B38C1715-376E-4820-8142-5B9A7F3A5B04}">
      <tableStyleElement type="wholeTable" dxfId="26"/>
      <tableStyleElement type="headerRow" dxfId="25"/>
      <tableStyleElement type="totalRow" dxfId="24"/>
      <tableStyleElement type="firstRowStripe" dxfId="23"/>
      <tableStyleElement type="firstColumnStripe" dxfId="22"/>
      <tableStyleElement type="firstSubtotalColumn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PYExcelTemplate.xlsx" TargetMode="External"/><Relationship Id="rId2" Type="http://schemas.openxmlformats.org/officeDocument/2006/relationships/externalLinkPath" Target="https://parkersaccountancy.sharepoint.com/sites/ParkersAccountancy/Shared%20Documents/George/COPYExcelTemplate.xlsx" TargetMode="External"/><Relationship Id="rId1" Type="http://schemas.openxmlformats.org/officeDocument/2006/relationships/externalLinkPath" Target="/sites/ParkersAccountancy/Shared%20Documents/George/COPY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elper"/>
      <sheetName val="Custom Rules"/>
      <sheetName val="Transaction Data"/>
      <sheetName val="Summary"/>
    </sheetNames>
    <sheetDataSet>
      <sheetData sheetId="0">
        <row r="1">
          <cell r="G1" t="e">
            <v>#VALUE!</v>
          </cell>
          <cell r="H1">
            <v>0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orge Farrell" refreshedDate="46086.704445949072" createdVersion="8" refreshedVersion="8" minRefreshableVersion="3" recordCount="1" xr:uid="{E30527A9-8550-465B-90F3-1350603B8E86}">
  <cacheSource type="worksheet">
    <worksheetSource name="TransactionData"/>
  </cacheSource>
  <cacheFields count="10">
    <cacheField name="T/N" numFmtId="0">
      <sharedItems containsNonDate="0" containsString="0" containsBlank="1"/>
    </cacheField>
    <cacheField name="Date" numFmtId="14">
      <sharedItems containsNonDate="0" containsString="0" containsBlank="1"/>
    </cacheField>
    <cacheField name="Transaction Type" numFmtId="0">
      <sharedItems containsNonDate="0" containsString="0" containsBlank="1"/>
    </cacheField>
    <cacheField name="Description" numFmtId="0">
      <sharedItems containsNonDate="0" containsString="0" containsBlank="1"/>
    </cacheField>
    <cacheField name="Amount" numFmtId="44">
      <sharedItems containsNonDate="0" containsString="0" containsBlank="1"/>
    </cacheField>
    <cacheField name="Balance" numFmtId="44">
      <sharedItems containsNonDate="0" containsString="0" containsBlank="1"/>
    </cacheField>
    <cacheField name="Global" numFmtId="0">
      <sharedItems containsNonDate="0" containsString="0" containsBlank="1"/>
    </cacheField>
    <cacheField name="Custom" numFmtId="0">
      <sharedItems containsNonDate="0" containsString="0" containsBlank="1"/>
    </cacheField>
    <cacheField name="Manual" numFmtId="0">
      <sharedItems containsNonDate="0" containsString="0" containsBlank="1"/>
    </cacheField>
    <cacheField name="Final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028C4-318E-4098-AF19-D8817826B30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">
  <location ref="A1:B2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>
      <items count="2">
        <item x="0"/>
        <item t="default"/>
      </items>
    </pivotField>
  </pivotFields>
  <rowFields count="1">
    <field x="9"/>
  </rowFields>
  <rowItems count="1">
    <i t="grand">
      <x/>
    </i>
  </rowItems>
  <colItems count="1">
    <i/>
  </colItems>
  <dataFields count="1">
    <dataField name="Amount " fld="4" baseField="9" baseItem="0" numFmtId="44"/>
  </dataFields>
  <pivotTableStyleInfo name="PivotStyleLight15 2" showRowHeaders="1" showColHeaders="1" showRowStripes="0" showColStripes="0" showLastColumn="1"/>
  <filters count="1">
    <filter fld="9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7894D-13D6-46EA-81BF-345BEBF15C8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s">
  <location ref="D1:E2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>
      <items count="2">
        <item x="0"/>
        <item t="default"/>
      </items>
    </pivotField>
  </pivotFields>
  <rowFields count="1">
    <field x="9"/>
  </rowFields>
  <rowItems count="1">
    <i t="grand">
      <x/>
    </i>
  </rowItems>
  <colItems count="1">
    <i/>
  </colItems>
  <dataFields count="1">
    <dataField name="Amount " fld="4" baseField="9" baseItem="0" numFmtId="164"/>
  </dataFields>
  <formats count="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9" type="button" dataOnly="0" labelOnly="1" outline="0" axis="axisRow" fieldPosition="0"/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5 2" showRowHeaders="1" showColHeaders="1" showRowStripes="0" showColStripes="0" showLastColumn="1"/>
  <filters count="1">
    <filter fld="9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DE998B-EA76-4ABF-92E3-8311DF83E2EA}" name="CustomRules" displayName="CustomRules" ref="A2:I30" totalsRowShown="0" headerRowDxfId="9">
  <autoFilter ref="A2:I30" xr:uid="{00000000-0009-0000-0100-000002000000}"/>
  <tableColumns count="9">
    <tableColumn id="1" xr3:uid="{A14CF05F-33E8-4D5E-8165-2C6687D96614}" name="Priority"/>
    <tableColumn id="2" xr3:uid="{C681B94A-B9C0-4261-8780-DD8F9142AF4F}" name="Category"/>
    <tableColumn id="3" xr3:uid="{A5C757D0-C1A7-464E-921B-8C7088523E3C}" name="Match Type"/>
    <tableColumn id="4" xr3:uid="{61DBA4C5-B16A-42C9-AB5B-B76A7888391C}" name="Pattern"/>
    <tableColumn id="5" xr3:uid="{5823C2B0-22E8-4EB4-84D4-DF7141C179DA}" name="Direction"/>
    <tableColumn id="6" xr3:uid="{CBC38F70-518F-4956-B639-F3BD79362BCF}" name="Txn Type Contains"/>
    <tableColumn id="7" xr3:uid="{1AEF6E40-5D22-48AC-8256-F6CC899880A5}" name="Active"/>
    <tableColumn id="8" xr3:uid="{8179FEE3-9D69-4C57-A3EF-7D913158078E}" name="Notes"/>
    <tableColumn id="10" xr3:uid="{5A8A66D8-9936-4C53-AE3B-288EF534BE02}" name="Global Category"/>
  </tableColumns>
  <tableStyleInfo name="Non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A2DF6-76BD-481F-B3EC-BDFE908FF5E0}" name="TransactionData" displayName="TransactionData" ref="A1:J2" totalsRowShown="0" headerRowDxfId="8">
  <autoFilter ref="A1:J2" xr:uid="{00000000-0009-0000-0100-000001000000}"/>
  <tableColumns count="10">
    <tableColumn id="1" xr3:uid="{FE34A13D-4148-4699-86C1-88057DF34BF6}" name="T/N"/>
    <tableColumn id="2" xr3:uid="{58BD9C60-160E-4CF1-94B9-70076C3DFD04}" name="Date" dataDxfId="7"/>
    <tableColumn id="3" xr3:uid="{87D2A9BE-8F22-4574-A6F0-96282D84D911}" name="Transaction Type"/>
    <tableColumn id="4" xr3:uid="{58D5972E-C899-4502-97F4-D46A140CB239}" name="Description"/>
    <tableColumn id="5" xr3:uid="{67D17DC2-3EA0-4A94-B70E-E8C451FBD6EE}" name="Amount" dataDxfId="6"/>
    <tableColumn id="6" xr3:uid="{B282A55C-1A49-406B-9048-94404E26D862}" name="Balance" dataDxfId="5"/>
    <tableColumn id="7" xr3:uid="{1A53D46A-3811-42CF-9D6F-35DCAD1589B0}" name="Global"/>
    <tableColumn id="8" xr3:uid="{111DB7A8-E069-44CE-830D-848E85A4CA1A}" name="Custom"/>
    <tableColumn id="9" xr3:uid="{0C2EC26A-B2A5-4E39-8E44-9DA45638CA67}" name="Manual"/>
    <tableColumn id="10" xr3:uid="{672E2CEC-2331-497B-8F0D-3312D783F974}" name="Final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575A-AA26-4648-AB3C-E6729FC9A6D6}">
  <dimension ref="A1:H3"/>
  <sheetViews>
    <sheetView workbookViewId="0">
      <selection activeCell="I16" sqref="I16"/>
    </sheetView>
  </sheetViews>
  <sheetFormatPr defaultRowHeight="15" x14ac:dyDescent="0.25"/>
  <cols>
    <col min="1" max="1" width="9.140625" style="6"/>
    <col min="2" max="2" width="9.140625" style="1"/>
    <col min="3" max="3" width="9.140625" style="6"/>
    <col min="4" max="4" width="9.140625" style="1"/>
    <col min="5" max="5" width="12.140625" style="6" bestFit="1" customWidth="1"/>
    <col min="6" max="6" width="12.140625" style="1" customWidth="1"/>
    <col min="7" max="7" width="18.7109375" style="5" bestFit="1" customWidth="1"/>
    <col min="8" max="8" width="7.140625" style="7" bestFit="1" customWidth="1"/>
    <col min="9" max="16384" width="9.140625" style="1"/>
  </cols>
  <sheetData>
    <row r="1" spans="1:8" x14ac:dyDescent="0.25">
      <c r="A1" s="6" t="s">
        <v>19</v>
      </c>
      <c r="C1" s="6" t="b">
        <v>1</v>
      </c>
      <c r="E1" s="6" t="s">
        <v>22</v>
      </c>
      <c r="G1" s="5" t="e" cm="1" vm="1">
        <f t="array" ref="G1">_xlfn._xlws.SORT(_xlfn.UNIQUE(_xlfn._xlws.FILTER(TransactionData[Final],TransactionData[Final]&lt;&gt;"")))</f>
        <v>#VALUE!</v>
      </c>
      <c r="H1" s="7" cm="1">
        <f t="array" ref="H1">_xlfn.LET(_xlpm.cats,_xlfn.ANCHORARRAY(G1),_xlfn.MAP(_xlpm.cats,_xlfn.LAMBDA(_xlpm.c,SUMIF(TransactionData[Final],_xlpm.c,TransactionData[Amount]))))</f>
        <v>0</v>
      </c>
    </row>
    <row r="2" spans="1:8" x14ac:dyDescent="0.25">
      <c r="A2" s="6" t="s">
        <v>23</v>
      </c>
      <c r="C2" s="6" t="b">
        <v>0</v>
      </c>
      <c r="E2" s="6" t="s">
        <v>24</v>
      </c>
    </row>
    <row r="3" spans="1:8" x14ac:dyDescent="0.25">
      <c r="A3" s="6" t="s">
        <v>25</v>
      </c>
      <c r="E3" s="6" t="s">
        <v>26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D5F6-CEEA-4D69-BBAD-120B0BA43CBB}">
  <sheetPr>
    <pageSetUpPr fitToPage="1"/>
  </sheetPr>
  <dimension ref="A1:I3"/>
  <sheetViews>
    <sheetView workbookViewId="0">
      <pane ySplit="2" topLeftCell="A3" activePane="bottomLeft" state="frozen"/>
      <selection pane="bottomLeft" activeCell="D16" sqref="D16"/>
    </sheetView>
  </sheetViews>
  <sheetFormatPr defaultRowHeight="15" x14ac:dyDescent="0.25"/>
  <cols>
    <col min="1" max="1" width="9.85546875" style="1" bestFit="1" customWidth="1"/>
    <col min="2" max="2" width="11.140625" style="1" bestFit="1" customWidth="1"/>
    <col min="3" max="3" width="13.5703125" style="1" bestFit="1" customWidth="1"/>
    <col min="4" max="4" width="9.85546875" style="1" bestFit="1" customWidth="1"/>
    <col min="5" max="5" width="11.42578125" style="1" bestFit="1" customWidth="1"/>
    <col min="6" max="6" width="19.5703125" style="1" bestFit="1" customWidth="1"/>
    <col min="7" max="7" width="8.85546875" style="1" bestFit="1" customWidth="1"/>
    <col min="8" max="8" width="8.5703125" style="1" bestFit="1" customWidth="1"/>
    <col min="9" max="9" width="17.5703125" style="1" bestFit="1" customWidth="1"/>
    <col min="10" max="16384" width="9.140625" style="1"/>
  </cols>
  <sheetData>
    <row r="1" spans="1:9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</row>
    <row r="3" spans="1:9" x14ac:dyDescent="0.25">
      <c r="E3" s="1" t="s">
        <v>19</v>
      </c>
      <c r="G3" s="1" t="b">
        <v>1</v>
      </c>
    </row>
  </sheetData>
  <mergeCells count="1">
    <mergeCell ref="A1:I1"/>
  </mergeCells>
  <dataValidations count="1">
    <dataValidation type="whole" allowBlank="1" errorTitle="Invalid Priority" error="Priority must be a whole number." promptTitle="Priority" prompt="Enter a whole number." sqref="A6:A4992 A1 A3:A4" xr:uid="{7B417E1D-CB4B-41F1-A2AB-26AE1D7337FD}"/>
  </dataValidations>
  <pageMargins left="0.75" right="0.75" top="1" bottom="1" header="0.5" footer="0.5"/>
  <pageSetup paperSize="9" scale="78" fitToHeight="0" orientation="portrait" verticalDpi="0" r:id="rId1"/>
  <headerFooter>
    <oddHeader>&amp;LMr Reiss Cartwright&amp;CCustom Rules&amp;R01/01/25 - 31/12/25</oddHeader>
    <evenHeader>&amp;LMr Reiss Cartwright&amp;CCustom Rules&amp;R01/01/25 - 31/12/25</evenHeader>
    <firstHeader>&amp;LMr Reiss Cartwright&amp;CCustom Rules&amp;R01/01/25 - 31/12/25</first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25E940-BC16-411A-8551-4A0654E38DD6}">
          <x14:formula1>
            <xm:f>Helper!$A:$A</xm:f>
          </x14:formula1>
          <xm:sqref>E3:E1048576</xm:sqref>
        </x14:dataValidation>
        <x14:dataValidation type="list" allowBlank="1" showInputMessage="1" showErrorMessage="1" xr:uid="{49B6C10E-B33F-4274-9C5D-10CC6AE0A855}">
          <x14:formula1>
            <xm:f>Helper!$C:$C</xm:f>
          </x14:formula1>
          <xm:sqref>G3:G1048576</xm:sqref>
        </x14:dataValidation>
        <x14:dataValidation type="list" allowBlank="1" showInputMessage="1" showErrorMessage="1" xr:uid="{6005C364-B22A-4FF2-825B-2B1B017EEACB}">
          <x14:formula1>
            <xm:f>Helper!$E:$E</xm:f>
          </x14:formula1>
          <xm:sqref>C3:C1048576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041D-B82C-4398-9676-2482F5A09153}">
  <dimension ref="A1:J1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13" style="1" hidden="1" customWidth="1"/>
    <col min="2" max="2" width="12" style="2" customWidth="1"/>
    <col min="3" max="4" width="20" style="1" customWidth="1"/>
    <col min="5" max="5" width="13" style="4" customWidth="1"/>
    <col min="6" max="6" width="13" style="4" hidden="1" customWidth="1"/>
    <col min="7" max="8" width="13" style="1" hidden="1" customWidth="1"/>
    <col min="9" max="10" width="10" style="1" customWidth="1"/>
    <col min="11" max="16384" width="9.14062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5" right="0.75" top="1" bottom="1" header="0.5" footer="0.5"/>
  <headerFooter>
    <oddHeader>&amp;LMr Reiss Cartwright&amp;CTransaction Data&amp;R01/01/25 - 31/12/25</oddHeader>
    <evenHeader>&amp;LMr Reiss Cartwright&amp;CTransaction Data&amp;R01/01/25 - 31/12/25</evenHeader>
    <firstHeader>&amp;LMr Reiss Cartwright&amp;CTransaction Data&amp;R01/01/25 - 31/12/25</first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1513-7C05-46BE-B5B9-6DC2793D874C}">
  <dimension ref="A1:E3"/>
  <sheetViews>
    <sheetView tabSelected="1" workbookViewId="0">
      <selection activeCell="K31" sqref="K31"/>
    </sheetView>
  </sheetViews>
  <sheetFormatPr defaultRowHeight="15" x14ac:dyDescent="0.25"/>
  <cols>
    <col min="1" max="1" width="9.7109375" style="1" customWidth="1"/>
    <col min="2" max="2" width="10.28515625" style="4" customWidth="1"/>
    <col min="3" max="3" width="9.140625" style="4"/>
    <col min="4" max="4" width="10.5703125" style="1" customWidth="1"/>
    <col min="5" max="5" width="10.28515625" style="4" customWidth="1"/>
    <col min="6" max="16384" width="9.140625" style="4"/>
  </cols>
  <sheetData>
    <row r="1" spans="1:5" x14ac:dyDescent="0.25">
      <c r="A1" s="3" t="s">
        <v>21</v>
      </c>
      <c r="B1" s="15" t="s">
        <v>4</v>
      </c>
      <c r="D1" s="3" t="s">
        <v>30</v>
      </c>
      <c r="E1" s="15" t="s">
        <v>4</v>
      </c>
    </row>
    <row r="2" spans="1:5" x14ac:dyDescent="0.25">
      <c r="A2" s="1" t="s">
        <v>31</v>
      </c>
      <c r="B2" s="4">
        <f>IFERROR(SUM(_xlfn.ANCHORARRAY(B3)),0)</f>
        <v>0</v>
      </c>
      <c r="D2" s="1" t="s">
        <v>31</v>
      </c>
      <c r="E2" s="4">
        <f>IFERROR(SUM(_xlfn.ANCHORARRAY(E3)),0)</f>
        <v>0</v>
      </c>
    </row>
    <row r="3" spans="1:5" x14ac:dyDescent="0.25">
      <c r="A3" s="1" t="str" cm="1">
        <f t="array" ref="A3">_xlfn.LET(_xlpm.cats,_xlfn.ANCHORARRAY([1]Helper!G1),_xlpm.tots,_xlfn.ANCHORARRAY([1]Helper!H1),IFERROR(_xlfn._xlws.FILTER(_xlpm.cats,_xlpm.tots&gt;0),""))</f>
        <v/>
      </c>
      <c r="B3" s="4" t="str" cm="1">
        <f t="array" ref="B3">_xlfn.LET(_xlpm.tots,_xlfn.ANCHORARRAY([1]Helper!H1),IFERROR(_xlfn._xlws.FILTER(_xlpm.tots,_xlpm.tots&gt;0),""))</f>
        <v/>
      </c>
      <c r="D3" s="1" t="str" cm="1">
        <f t="array" ref="D3">_xlfn.LET(_xlpm.cats,_xlfn.ANCHORARRAY([1]Helper!G1),_xlpm.tots,_xlfn.ANCHORARRAY([1]Helper!H1),IFERROR(_xlfn._xlws.FILTER(_xlpm.cats,_xlpm.tots&lt;0),""))</f>
        <v/>
      </c>
      <c r="E3" s="4" t="str" cm="1">
        <f t="array" ref="E3">_xlfn.LET(_xlpm.tots,_xlfn.ANCHORARRAY([1]Helper!H1),IFERROR(-_xlfn._xlws.FILTER(_xlpm.tots,_xlpm.tots&lt;0),""))</f>
        <v/>
      </c>
    </row>
  </sheetData>
  <pageMargins left="0.75" right="0.75" top="1" bottom="1" header="0.5" footer="0.5"/>
  <headerFooter>
    <oddHeader>&amp;LMr Reiss Cartwright&amp;CSummary&amp;R01/01/25 - 31/12/25</oddHeader>
    <evenHeader>&amp;LMr Reiss Cartwright&amp;CSummary&amp;R01/01/25 - 31/12/25</evenHeader>
    <firstHeader>&amp;LMr Reiss Cartwright&amp;CSummary&amp;R01/01/25 - 31/12/25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9C52-966D-4A69-A8FE-26E0C81CA230}">
  <dimension ref="A1:F18"/>
  <sheetViews>
    <sheetView workbookViewId="0">
      <selection activeCell="H8" sqref="H8"/>
    </sheetView>
  </sheetViews>
  <sheetFormatPr defaultRowHeight="15" x14ac:dyDescent="0.25"/>
  <cols>
    <col min="1" max="1" width="11.28515625" style="1" bestFit="1" customWidth="1"/>
    <col min="2" max="2" width="8.5703125" style="4" bestFit="1" customWidth="1"/>
    <col min="3" max="3" width="9.140625" style="4"/>
    <col min="4" max="4" width="13" style="1" bestFit="1" customWidth="1"/>
    <col min="5" max="5" width="10" style="4" bestFit="1" customWidth="1"/>
    <col min="6" max="16384" width="9.140625" style="4"/>
  </cols>
  <sheetData>
    <row r="1" spans="1:6" x14ac:dyDescent="0.25">
      <c r="A1" s="8" t="s">
        <v>21</v>
      </c>
      <c r="B1" t="s">
        <v>28</v>
      </c>
      <c r="C1"/>
      <c r="D1" s="12" t="s">
        <v>29</v>
      </c>
      <c r="E1" s="11" t="s">
        <v>28</v>
      </c>
      <c r="F1"/>
    </row>
    <row r="2" spans="1:6" x14ac:dyDescent="0.25">
      <c r="A2" s="9" t="s">
        <v>27</v>
      </c>
      <c r="B2" s="10"/>
      <c r="C2"/>
      <c r="D2" s="13" t="s">
        <v>27</v>
      </c>
      <c r="E2" s="11"/>
      <c r="F2"/>
    </row>
    <row r="3" spans="1:6" x14ac:dyDescent="0.25">
      <c r="A3"/>
      <c r="B3"/>
      <c r="C3"/>
      <c r="D3"/>
      <c r="E3"/>
      <c r="F3"/>
    </row>
    <row r="4" spans="1:6" x14ac:dyDescent="0.25">
      <c r="A4"/>
      <c r="B4"/>
      <c r="C4"/>
      <c r="D4"/>
      <c r="E4"/>
      <c r="F4"/>
    </row>
    <row r="5" spans="1:6" x14ac:dyDescent="0.25">
      <c r="A5"/>
      <c r="B5"/>
      <c r="C5"/>
      <c r="D5"/>
      <c r="E5"/>
      <c r="F5"/>
    </row>
    <row r="6" spans="1:6" x14ac:dyDescent="0.25">
      <c r="A6"/>
      <c r="B6"/>
      <c r="C6"/>
      <c r="D6"/>
      <c r="E6"/>
      <c r="F6"/>
    </row>
    <row r="7" spans="1:6" x14ac:dyDescent="0.25">
      <c r="A7"/>
      <c r="B7"/>
      <c r="C7"/>
      <c r="D7"/>
      <c r="E7"/>
      <c r="F7"/>
    </row>
    <row r="8" spans="1:6" x14ac:dyDescent="0.25">
      <c r="A8"/>
      <c r="B8"/>
      <c r="C8"/>
      <c r="D8"/>
      <c r="E8"/>
      <c r="F8"/>
    </row>
    <row r="9" spans="1:6" x14ac:dyDescent="0.25">
      <c r="A9"/>
      <c r="B9"/>
      <c r="C9"/>
      <c r="D9"/>
      <c r="E9"/>
      <c r="F9"/>
    </row>
    <row r="10" spans="1:6" x14ac:dyDescent="0.25">
      <c r="A10"/>
      <c r="B10"/>
      <c r="C10"/>
      <c r="D10"/>
      <c r="E10"/>
      <c r="F10"/>
    </row>
    <row r="11" spans="1:6" x14ac:dyDescent="0.25">
      <c r="A11"/>
      <c r="B11"/>
      <c r="C11"/>
      <c r="D11"/>
      <c r="E11"/>
      <c r="F11"/>
    </row>
    <row r="12" spans="1:6" x14ac:dyDescent="0.25">
      <c r="A12"/>
      <c r="B12"/>
      <c r="C12"/>
      <c r="D12"/>
      <c r="E12"/>
      <c r="F12"/>
    </row>
    <row r="13" spans="1:6" x14ac:dyDescent="0.25">
      <c r="A13"/>
      <c r="B13"/>
      <c r="C13"/>
      <c r="D13"/>
      <c r="E13"/>
      <c r="F13"/>
    </row>
    <row r="14" spans="1:6" x14ac:dyDescent="0.25">
      <c r="A14"/>
      <c r="B14"/>
      <c r="C14"/>
      <c r="D14"/>
      <c r="E14"/>
      <c r="F14"/>
    </row>
    <row r="15" spans="1:6" x14ac:dyDescent="0.25">
      <c r="A15"/>
      <c r="B15"/>
      <c r="C15"/>
      <c r="D15"/>
      <c r="E15"/>
      <c r="F15"/>
    </row>
    <row r="16" spans="1:6" x14ac:dyDescent="0.25">
      <c r="A16"/>
      <c r="B16"/>
      <c r="C16"/>
      <c r="D16"/>
      <c r="E16"/>
      <c r="F16"/>
    </row>
    <row r="17" spans="4:6" x14ac:dyDescent="0.25">
      <c r="D17"/>
      <c r="E17"/>
      <c r="F17"/>
    </row>
    <row r="18" spans="4:6" x14ac:dyDescent="0.25">
      <c r="D18"/>
      <c r="E18"/>
      <c r="F18"/>
    </row>
  </sheetData>
  <pageMargins left="0.75" right="0.75" top="1" bottom="1" header="0.5" footer="0.5"/>
  <headerFooter>
    <oddHeader>&amp;LMr Reiss Cartwright&amp;CSummary&amp;R01/01/25 - 31/12/25</oddHeader>
    <evenHeader>&amp;LMr Reiss Cartwright&amp;CSummary&amp;R01/01/25 - 31/12/25</evenHeader>
    <firstHeader>&amp;LMr Reiss Cartwright&amp;CSummary&amp;R01/01/25 - 31/12/25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DDC61C6EBC344ABFB35175DB918FFD" ma:contentTypeVersion="12" ma:contentTypeDescription="Create a new document." ma:contentTypeScope="" ma:versionID="abf49863f079209c9ede733a84f37b3f">
  <xsd:schema xmlns:xsd="http://www.w3.org/2001/XMLSchema" xmlns:xs="http://www.w3.org/2001/XMLSchema" xmlns:p="http://schemas.microsoft.com/office/2006/metadata/properties" xmlns:ns2="e4708ced-508a-40d3-8001-943584fcd60d" xmlns:ns3="27721ca5-1d6b-4993-be98-25087674e91f" targetNamespace="http://schemas.microsoft.com/office/2006/metadata/properties" ma:root="true" ma:fieldsID="9805f82215c861d592a476dcd5b251a7" ns2:_="" ns3:_="">
    <xsd:import namespace="e4708ced-508a-40d3-8001-943584fcd60d"/>
    <xsd:import namespace="27721ca5-1d6b-4993-be98-25087674e9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08ced-508a-40d3-8001-943584fcd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de65450-8985-4c50-92d9-b5776b2607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1ca5-1d6b-4993-be98-25087674e9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a6217b-98ce-428b-9da1-106c7a3eafea}" ma:internalName="TaxCatchAll" ma:showField="CatchAllData" ma:web="27721ca5-1d6b-4993-be98-25087674e9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21ca5-1d6b-4993-be98-25087674e91f" xsi:nil="true"/>
    <lcf76f155ced4ddcb4097134ff3c332f xmlns="e4708ced-508a-40d3-8001-943584fcd6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7D5DB-5826-43BF-BDB4-5B0FC8577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708ced-508a-40d3-8001-943584fcd60d"/>
    <ds:schemaRef ds:uri="27721ca5-1d6b-4993-be98-25087674e9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31B751-EB44-4B30-A779-C62701F8D681}">
  <ds:schemaRefs>
    <ds:schemaRef ds:uri="http://schemas.microsoft.com/office/2006/metadata/properties"/>
    <ds:schemaRef ds:uri="http://schemas.microsoft.com/office/infopath/2007/PartnerControls"/>
    <ds:schemaRef ds:uri="27721ca5-1d6b-4993-be98-25087674e91f"/>
    <ds:schemaRef ds:uri="e4708ced-508a-40d3-8001-943584fcd60d"/>
  </ds:schemaRefs>
</ds:datastoreItem>
</file>

<file path=customXml/itemProps3.xml><?xml version="1.0" encoding="utf-8"?>
<ds:datastoreItem xmlns:ds="http://schemas.openxmlformats.org/officeDocument/2006/customXml" ds:itemID="{DB8273B8-C170-44D6-B7F5-B02A7B7444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Helper</vt:lpstr>
      <vt:lpstr>Custom Rules</vt:lpstr>
      <vt:lpstr>Transaction Data</vt:lpstr>
      <vt:lpstr>Summary</vt:lpstr>
      <vt:lpstr>Pivot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Farrell</dc:creator>
  <cp:lastModifiedBy>George Farrell</cp:lastModifiedBy>
  <cp:lastPrinted>2026-03-05T13:54:00Z</cp:lastPrinted>
  <dcterms:created xsi:type="dcterms:W3CDTF">2026-01-06T09:55:21Z</dcterms:created>
  <dcterms:modified xsi:type="dcterms:W3CDTF">2026-03-05T16:54:53Z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0x0101007DDDC61C6EBC344ABFB35175DB918FFD</vt:lpwstr>
  </property>
  <property fmtid="{D5CDD505-2E9C-101B-9397-08002B2CF9AE}" pid="3" name="MediaServiceImageTags">
    <vt:lpwstr/>
  </property>
</Properties>
</file>